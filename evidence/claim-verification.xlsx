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00" tabRatio="500" firstSheet="0" activeTab="0" autoFilterDateGrouping="1"/>
  </bookViews>
  <sheets>
    <sheet name="Claims" sheetId="1" state="visible" r:id="rId1"/>
    <sheet name="Broker Data" sheetId="2" state="visible" r:id="rId2"/>
    <sheet name="Charters" sheetId="3" state="visible" r:id="rId3"/>
    <sheet name="Circulars" sheetId="4" state="visible" r:id="rId4"/>
  </sheets>
  <definedNames>
    <definedName name="_xlnm._FilterDatabase" localSheetId="0" hidden="1">'Claims'!$A$1:$I$49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Arial"/>
      <family val="2"/>
      <i val="1"/>
      <color rgb="FFC00000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zoomScaleNormal="100" workbookViewId="0">
      <pane ySplit="1" topLeftCell="A25" activePane="bottomLeft" state="frozen"/>
      <selection pane="bottomLeft" activeCell="G32" sqref="G32"/>
    </sheetView>
  </sheetViews>
  <sheetFormatPr baseColWidth="10" defaultColWidth="8.6640625" defaultRowHeight="15"/>
  <cols>
    <col width="7" customWidth="1" min="1" max="1"/>
    <col width="58" customWidth="1" min="2" max="2"/>
    <col width="17" customWidth="1" min="3" max="3"/>
    <col width="13" customWidth="1" min="4" max="5"/>
    <col width="52" customWidth="1" min="6" max="6"/>
    <col width="34" customWidth="1" min="7" max="7"/>
    <col width="11" customWidth="1" min="8" max="8"/>
    <col width="52" customWidth="1" min="9" max="9"/>
  </cols>
  <sheetData>
    <row r="1" ht="31.5" customHeight="1">
      <c r="A1" s="1" t="inlineStr">
        <is>
          <t>ID</t>
        </is>
      </c>
      <c r="B1" s="1" t="inlineStr">
        <is>
          <t>Claim</t>
        </is>
      </c>
      <c r="C1" s="1" t="inlineStr">
        <is>
          <t>Where it appears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Source</t>
        </is>
      </c>
      <c r="H1" s="1" t="inlineStr">
        <is>
          <t>Verified</t>
        </is>
      </c>
      <c r="I1" s="1" t="inlineStr">
        <is>
          <t>Correction / note</t>
        </is>
      </c>
    </row>
    <row r="2" ht="28" customHeight="1">
      <c r="A2" s="2" t="inlineStr">
        <is>
          <t>R1</t>
        </is>
      </c>
      <c r="B2" s="3" t="inlineStr">
        <is>
          <t>Supreme Court, 30 Apr 2025, held the right to digital access an intrinsic component of the right to life and personal liberty</t>
        </is>
      </c>
      <c r="C2" s="2" t="inlineStr">
        <is>
          <t>Article; guide Ch.3</t>
        </is>
      </c>
      <c r="D2" s="2" t="inlineStr">
        <is>
          <t>Regulation</t>
        </is>
      </c>
      <c r="E2" s="4" t="inlineStr">
        <is>
          <t>VERIFIED</t>
        </is>
      </c>
      <c r="F2" s="3" t="inlineStr">
        <is>
          <t>Quoted verbatim inside the circular itself</t>
        </is>
      </c>
      <c r="G2" s="3" t="inlineStr">
        <is>
          <t>SEBI 2025/111 Annexure I s.A</t>
        </is>
      </c>
      <c r="H2" s="2" t="inlineStr">
        <is>
          <t>2026-08-20</t>
        </is>
      </c>
      <c r="I2" s="3" t="n"/>
    </row>
    <row r="3" ht="28" customHeight="1">
      <c r="A3" s="2" t="inlineStr">
        <is>
          <t>R2</t>
        </is>
      </c>
      <c r="B3" s="3" t="inlineStr">
        <is>
          <t>The case is Pragya Prasun &amp; Ors. v. Union of India, heard with a Jain matter</t>
        </is>
      </c>
      <c r="C3" s="2" t="inlineStr">
        <is>
          <t>Article; guide</t>
        </is>
      </c>
      <c r="D3" s="2" t="inlineStr">
        <is>
          <t>Regulation</t>
        </is>
      </c>
      <c r="E3" s="5" t="inlineStr">
        <is>
          <t>NARROWER</t>
        </is>
      </c>
      <c r="F3" s="3" t="inlineStr">
        <is>
          <t>Circular names 'Pragya Prasun &amp; Ors.' and 'Jain vs. Union of India'</t>
        </is>
      </c>
      <c r="G3" s="3" t="inlineStr">
        <is>
          <t>SEBI 2025/111 Annexure I s.A</t>
        </is>
      </c>
      <c r="H3" s="2" t="inlineStr">
        <is>
          <t>2026-08-20</t>
        </is>
      </c>
      <c r="I3" s="3" t="inlineStr">
        <is>
          <t>First name 'Amar' comes from secondary coverage only. Article corrected to 'a Jain matter'.</t>
        </is>
      </c>
    </row>
    <row r="4">
      <c r="A4" s="2" t="inlineStr">
        <is>
          <t>R3</t>
        </is>
      </c>
      <c r="B4" s="3" t="inlineStr">
        <is>
          <t>Standards are WCAG 2.1 or latest, GIGW latest, IS 17802, RPwD Act</t>
        </is>
      </c>
      <c r="C4" s="2" t="inlineStr">
        <is>
          <t>Article; guide Ch.4</t>
        </is>
      </c>
      <c r="D4" s="2" t="inlineStr">
        <is>
          <t>Regulation</t>
        </is>
      </c>
      <c r="E4" s="4" t="inlineStr">
        <is>
          <t>VERIFIED</t>
        </is>
      </c>
      <c r="F4" s="3" t="inlineStr">
        <is>
          <t>Verbatim, four numbered items</t>
        </is>
      </c>
      <c r="G4" s="3" t="inlineStr">
        <is>
          <t>SEBI 2025/111 Annexure I s.B</t>
        </is>
      </c>
      <c r="H4" s="2" t="inlineStr">
        <is>
          <t>2026-08-20</t>
        </is>
      </c>
      <c r="I4" s="3" t="n"/>
    </row>
    <row r="5" ht="28" customHeight="1">
      <c r="A5" s="2" t="inlineStr">
        <is>
          <t>R4</t>
        </is>
      </c>
      <c r="B5" s="3" t="inlineStr">
        <is>
          <t>SEBI never writes WCAG 2.2, GIGW 3.0, or a year for IS 17802</t>
        </is>
      </c>
      <c r="C5" s="2" t="inlineStr">
        <is>
          <t>Article</t>
        </is>
      </c>
      <c r="D5" s="2" t="inlineStr">
        <is>
          <t>Regulation</t>
        </is>
      </c>
      <c r="E5" s="4" t="inlineStr">
        <is>
          <t>VERIFIED</t>
        </is>
      </c>
      <c r="F5" s="3" t="inlineStr">
        <is>
          <t>Full text of four circulars searched</t>
        </is>
      </c>
      <c r="G5" s="3" t="inlineStr">
        <is>
          <t>2025/111, 2025/121, 2025/131, Dec 2025</t>
        </is>
      </c>
      <c r="H5" s="2" t="inlineStr">
        <is>
          <t>2026-08-20</t>
        </is>
      </c>
      <c r="I5" s="3" t="n"/>
    </row>
    <row r="6">
      <c r="A6" s="2" t="inlineStr">
        <is>
          <t>R5</t>
        </is>
      </c>
      <c r="B6" s="3" t="inlineStr">
        <is>
          <t>A Nodal Officer for digital accessibility is mandatory</t>
        </is>
      </c>
      <c r="C6" s="2" t="inlineStr">
        <is>
          <t>Article; guide Ch.4</t>
        </is>
      </c>
      <c r="D6" s="2" t="inlineStr">
        <is>
          <t>Regulation</t>
        </is>
      </c>
      <c r="E6" s="4" t="inlineStr">
        <is>
          <t>VERIFIED</t>
        </is>
      </c>
      <c r="F6" s="3" t="inlineStr">
        <is>
          <t>Verbatim</t>
        </is>
      </c>
      <c r="G6" s="3" t="inlineStr">
        <is>
          <t>2025/111 s.1.1-1.2</t>
        </is>
      </c>
      <c r="H6" s="2" t="inlineStr">
        <is>
          <t>2026-08-20</t>
        </is>
      </c>
      <c r="I6" s="3" t="n"/>
    </row>
    <row r="7">
      <c r="A7" s="2" t="inlineStr">
        <is>
          <t>R6</t>
        </is>
      </c>
      <c r="B7" s="3" t="inlineStr">
        <is>
          <t>An accessibility-specific grievance mechanism with escalation is required</t>
        </is>
      </c>
      <c r="C7" s="2" t="inlineStr">
        <is>
          <t>Article; guide</t>
        </is>
      </c>
      <c r="D7" s="2" t="inlineStr">
        <is>
          <t>Regulation</t>
        </is>
      </c>
      <c r="E7" s="4" t="inlineStr">
        <is>
          <t>VERIFIED</t>
        </is>
      </c>
      <c r="F7" s="3" t="inlineStr">
        <is>
          <t>Verbatim</t>
        </is>
      </c>
      <c r="G7" s="3" t="inlineStr">
        <is>
          <t>2025/111 s.1.3</t>
        </is>
      </c>
      <c r="H7" s="2" t="inlineStr">
        <is>
          <t>2026-08-20</t>
        </is>
      </c>
      <c r="I7" s="3" t="n"/>
    </row>
    <row r="8" ht="28" customHeight="1">
      <c r="A8" s="2" t="inlineStr">
        <is>
          <t>R7</t>
        </is>
      </c>
      <c r="B8" s="3" t="inlineStr">
        <is>
          <t>Investor PDFs must follow accessible document standards; circular cites the WCAG PDF techniques</t>
        </is>
      </c>
      <c r="C8" s="2" t="inlineStr">
        <is>
          <t>Article; guide</t>
        </is>
      </c>
      <c r="D8" s="2" t="inlineStr">
        <is>
          <t>Regulation</t>
        </is>
      </c>
      <c r="E8" s="4" t="inlineStr">
        <is>
          <t>VERIFIED</t>
        </is>
      </c>
      <c r="F8" s="3" t="inlineStr">
        <is>
          <t>Verbatim, with the W3C URL</t>
        </is>
      </c>
      <c r="G8" s="3" t="inlineStr">
        <is>
          <t>2025/111 s.2.2</t>
        </is>
      </c>
      <c r="H8" s="2" t="inlineStr">
        <is>
          <t>2026-08-20</t>
        </is>
      </c>
      <c r="I8" s="3" t="n"/>
    </row>
    <row r="9">
      <c r="A9" s="2" t="inlineStr">
        <is>
          <t>R8</t>
        </is>
      </c>
      <c r="B9" s="3" t="inlineStr">
        <is>
          <t>ISL, captions, descriptive audio and alt text are required</t>
        </is>
      </c>
      <c r="C9" s="2" t="inlineStr">
        <is>
          <t>Article; guide</t>
        </is>
      </c>
      <c r="D9" s="2" t="inlineStr">
        <is>
          <t>Regulation</t>
        </is>
      </c>
      <c r="E9" s="4" t="inlineStr">
        <is>
          <t>VERIFIED</t>
        </is>
      </c>
      <c r="F9" s="3" t="inlineStr">
        <is>
          <t>Verbatim</t>
        </is>
      </c>
      <c r="G9" s="3" t="inlineStr">
        <is>
          <t>2025/111 s.2.1</t>
        </is>
      </c>
      <c r="H9" s="2" t="inlineStr">
        <is>
          <t>2026-08-20</t>
        </is>
      </c>
      <c r="I9" s="3" t="n"/>
    </row>
    <row r="10">
      <c r="A10" s="2" t="inlineStr">
        <is>
          <t>R9</t>
        </is>
      </c>
      <c r="B10" s="3" t="inlineStr">
        <is>
          <t>Audits must include usability testing by persons with disabilities</t>
        </is>
      </c>
      <c r="C10" s="2" t="inlineStr">
        <is>
          <t>Article; guide</t>
        </is>
      </c>
      <c r="D10" s="2" t="inlineStr">
        <is>
          <t>Regulation</t>
        </is>
      </c>
      <c r="E10" s="4" t="inlineStr">
        <is>
          <t>VERIFIED</t>
        </is>
      </c>
      <c r="F10" s="3" t="inlineStr">
        <is>
          <t>Verbatim</t>
        </is>
      </c>
      <c r="G10" s="3" t="inlineStr">
        <is>
          <t>2025/111 s.5.1</t>
        </is>
      </c>
      <c r="H10" s="2" t="inlineStr">
        <is>
          <t>2026-08-20</t>
        </is>
      </c>
      <c r="I10" s="3" t="n"/>
    </row>
    <row r="11" ht="28" customHeight="1">
      <c r="A11" s="2" t="inlineStr">
        <is>
          <t>R10</t>
        </is>
      </c>
      <c r="B11" s="3" t="inlineStr">
        <is>
          <t>A disabled applicant may be rejected only after human review, with power to override automation</t>
        </is>
      </c>
      <c r="C11" s="2" t="inlineStr">
        <is>
          <t>Article; guide</t>
        </is>
      </c>
      <c r="D11" s="2" t="inlineStr">
        <is>
          <t>Regulation</t>
        </is>
      </c>
      <c r="E11" s="4" t="inlineStr">
        <is>
          <t>VERIFIED</t>
        </is>
      </c>
      <c r="F11" s="3" t="inlineStr">
        <is>
          <t>Verbatim</t>
        </is>
      </c>
      <c r="G11" s="3" t="inlineStr">
        <is>
          <t>2025/111 s.4.2</t>
        </is>
      </c>
      <c r="H11" s="2" t="inlineStr">
        <is>
          <t>2026-08-20</t>
        </is>
      </c>
      <c r="I11" s="3" t="n"/>
    </row>
    <row r="12">
      <c r="A12" s="2" t="inlineStr">
        <is>
          <t>R11</t>
        </is>
      </c>
      <c r="B12" s="3" t="inlineStr">
        <is>
          <t>Responsibility for platform accessibility stays with the RE even for SaaS</t>
        </is>
      </c>
      <c r="C12" s="2" t="inlineStr">
        <is>
          <t>Article; guide</t>
        </is>
      </c>
      <c r="D12" s="2" t="inlineStr">
        <is>
          <t>Regulation</t>
        </is>
      </c>
      <c r="E12" s="5" t="inlineStr">
        <is>
          <t>NARROWER</t>
        </is>
      </c>
      <c r="F12" s="3" t="inlineStr">
        <is>
          <t>The circular says 'responsibility', not 'liability'</t>
        </is>
      </c>
      <c r="G12" s="3" t="inlineStr">
        <is>
          <t>2025/111 s.6.1</t>
        </is>
      </c>
      <c r="H12" s="2" t="inlineStr">
        <is>
          <t>2026-08-20</t>
        </is>
      </c>
      <c r="I12" s="3" t="inlineStr">
        <is>
          <t>Article corrected: 'liability' replaced in two places.</t>
        </is>
      </c>
    </row>
    <row r="13" ht="28" customHeight="1">
      <c r="A13" s="2" t="inlineStr">
        <is>
          <t>R12</t>
        </is>
      </c>
      <c r="B13" s="3" t="inlineStr">
        <is>
          <t>Audit and remediation deadline is 31 October 2026</t>
        </is>
      </c>
      <c r="C13" s="2" t="inlineStr">
        <is>
          <t>Article; guide</t>
        </is>
      </c>
      <c r="D13" s="2" t="inlineStr">
        <is>
          <t>Regulation</t>
        </is>
      </c>
      <c r="E13" s="4" t="inlineStr">
        <is>
          <t>VERIFIED</t>
        </is>
      </c>
      <c r="F13" s="3" t="inlineStr">
        <is>
          <t>Circular reproduced inside an exchange notice</t>
        </is>
      </c>
      <c r="G13" s="3" t="inlineStr">
        <is>
          <t>HO/(411)2026-ITD-5_DIV2/I/17922/2026 via BSE Notice 20260731-17</t>
        </is>
      </c>
      <c r="H13" s="2" t="inlineStr">
        <is>
          <t>2026-08-20</t>
        </is>
      </c>
      <c r="I13" s="3" t="n"/>
    </row>
    <row r="14">
      <c r="A14" s="2" t="inlineStr">
        <is>
          <t>R13</t>
        </is>
      </c>
      <c r="B14" s="3" t="inlineStr">
        <is>
          <t>The 14 Dec 2025 auditor milestone was replaced, not supplemented</t>
        </is>
      </c>
      <c r="C14" s="2" t="inlineStr">
        <is>
          <t>Article; guide</t>
        </is>
      </c>
      <c r="D14" s="2" t="inlineStr">
        <is>
          <t>Regulation</t>
        </is>
      </c>
      <c r="E14" s="4" t="inlineStr">
        <is>
          <t>VERIFIED</t>
        </is>
      </c>
      <c r="F14" s="3" t="inlineStr">
        <is>
          <t>Verbatim: 'Instead of meeting the compliance requirement...'</t>
        </is>
      </c>
      <c r="G14" s="3" t="inlineStr">
        <is>
          <t>Dec 2025 clarification para 3(a)</t>
        </is>
      </c>
      <c r="H14" s="2" t="inlineStr">
        <is>
          <t>2026-08-20</t>
        </is>
      </c>
      <c r="I14" s="3" t="n"/>
    </row>
    <row r="15">
      <c r="A15" s="2" t="inlineStr">
        <is>
          <t>R14</t>
        </is>
      </c>
      <c r="B15" s="3" t="inlineStr">
        <is>
          <t>Compliance is filed by email to SEBI, an exchange or a depository</t>
        </is>
      </c>
      <c r="C15" s="2" t="inlineStr">
        <is>
          <t>Article; guide Ch.5</t>
        </is>
      </c>
      <c r="D15" s="2" t="inlineStr">
        <is>
          <t>Regulation</t>
        </is>
      </c>
      <c r="E15" s="4" t="inlineStr">
        <is>
          <t>VERIFIED</t>
        </is>
      </c>
      <c r="F15" s="3" t="inlineStr">
        <is>
          <t>Submission mechanism and formats prescribed</t>
        </is>
      </c>
      <c r="G15" s="3" t="inlineStr">
        <is>
          <t>2025/131 Part B; Dec 2025 Annexure A</t>
        </is>
      </c>
      <c r="H15" s="2" t="inlineStr">
        <is>
          <t>2026-08-20</t>
        </is>
      </c>
      <c r="I15" s="3" t="n"/>
    </row>
    <row r="16" ht="28" customHeight="1">
      <c r="A16" s="2" t="inlineStr">
        <is>
          <t>R15</t>
        </is>
      </c>
      <c r="B16" s="3" t="inlineStr">
        <is>
          <t>The circulars prescribe no penalty</t>
        </is>
      </c>
      <c r="C16" s="2" t="inlineStr">
        <is>
          <t>Article</t>
        </is>
      </c>
      <c r="D16" s="2" t="inlineStr">
        <is>
          <t>Regulation</t>
        </is>
      </c>
      <c r="E16" s="4" t="inlineStr">
        <is>
          <t>VERIFIED</t>
        </is>
      </c>
      <c r="F16" s="3" t="inlineStr">
        <is>
          <t>Issued under s.11(1); no penalty clause in any circular read</t>
        </is>
      </c>
      <c r="G16" s="3" t="inlineStr">
        <is>
          <t>All five read</t>
        </is>
      </c>
      <c r="H16" s="2" t="inlineStr">
        <is>
          <t>2026-08-20</t>
        </is>
      </c>
      <c r="I16" s="3" t="inlineStr">
        <is>
          <t>Vendor claims of a penalty regime describe SEBI's general powers.</t>
        </is>
      </c>
    </row>
    <row r="17" ht="28" customHeight="1">
      <c r="A17" s="2" t="inlineStr">
        <is>
          <t>R16</t>
        </is>
      </c>
      <c r="B17" s="3" t="inlineStr">
        <is>
          <t>'Six circulars'</t>
        </is>
      </c>
      <c r="C17" s="2" t="inlineStr">
        <is>
          <t>Article v1</t>
        </is>
      </c>
      <c r="D17" s="2" t="inlineStr">
        <is>
          <t>Regulation</t>
        </is>
      </c>
      <c r="E17" s="6" t="inlineStr">
        <is>
          <t>CORRECTED</t>
        </is>
      </c>
      <c r="F17" s="3" t="inlineStr">
        <is>
          <t>SEBI's own Dec clarification references three prior circulars; the May 2025 KYC circular is a different series (MIRSD)</t>
        </is>
      </c>
      <c r="G17" s="3" t="inlineStr">
        <is>
          <t>Dec 2025 clarification reference table</t>
        </is>
      </c>
      <c r="H17" s="2" t="inlineStr">
        <is>
          <t>2026-08-20</t>
        </is>
      </c>
      <c r="I17" s="3" t="inlineStr">
        <is>
          <t>Corrected to: five digital accessibility circulars, preceded by a KYC circular.</t>
        </is>
      </c>
    </row>
    <row r="18">
      <c r="A18" s="2" t="inlineStr">
        <is>
          <t>R17</t>
        </is>
      </c>
      <c r="B18" s="3" t="inlineStr">
        <is>
          <t>'Nothing in six circulars requires publication'</t>
        </is>
      </c>
      <c r="C18" s="2" t="inlineStr">
        <is>
          <t>Article v1</t>
        </is>
      </c>
      <c r="D18" s="2" t="inlineStr">
        <is>
          <t>Regulation</t>
        </is>
      </c>
      <c r="E18" s="6" t="inlineStr">
        <is>
          <t>CORRECTED</t>
        </is>
      </c>
      <c r="F18" s="3" t="inlineStr">
        <is>
          <t>One of the six has not been read against primary text</t>
        </is>
      </c>
      <c r="G18" s="3" t="inlineStr">
        <is>
          <t>OQ-3</t>
        </is>
      </c>
      <c r="H18" s="2" t="inlineStr">
        <is>
          <t>2026-08-20</t>
        </is>
      </c>
      <c r="I18" s="3" t="inlineStr">
        <is>
          <t>Narrowed to the five actually read.</t>
        </is>
      </c>
    </row>
    <row r="19" ht="28" customHeight="1">
      <c r="A19" s="2" t="inlineStr">
        <is>
          <t>R18</t>
        </is>
      </c>
      <c r="B19" s="3" t="inlineStr">
        <is>
          <t>24 obligations: 7 public, 4 artifact, 2 client, 11 not observable</t>
        </is>
      </c>
      <c r="C19" s="2" t="inlineStr">
        <is>
          <t>Article; repo</t>
        </is>
      </c>
      <c r="D19" s="2" t="inlineStr">
        <is>
          <t>Classification</t>
        </is>
      </c>
      <c r="E19" s="4" t="inlineStr">
        <is>
          <t>CORRECTED</t>
        </is>
      </c>
      <c r="F19" s="3" t="inlineStr">
        <is>
          <t>Summary line did not match the register rows. Recounted 10 Oct 2026: 5 public (O22 split, counted public), 3 artifact, 2 client, 14 not observable; 7 of the 14 observable if published</t>
        </is>
      </c>
      <c r="G19" s="3" t="inlineStr">
        <is>
          <t>regulation/obligations.md</t>
        </is>
      </c>
      <c r="H19" s="2" t="inlineStr">
        <is>
          <t>2026-10-10</t>
        </is>
      </c>
      <c r="I19" s="3" t="inlineStr">
        <is>
          <t>Corrected throughout (articles, repo, guide); logged in CORRECTIONS.md. 5+3+2+14=24.</t>
        </is>
      </c>
    </row>
    <row r="20" ht="28" customHeight="1">
      <c r="A20" s="2" t="inlineStr">
        <is>
          <t>C1</t>
        </is>
      </c>
      <c r="B20" s="3" t="inlineStr">
        <is>
          <t>SEBI's own Investor Charter contains no digital accessibility right</t>
        </is>
      </c>
      <c r="C20" s="2" t="inlineStr">
        <is>
          <t>Article; guide Ch.5</t>
        </is>
      </c>
      <c r="D20" s="2" t="inlineStr">
        <is>
          <t>Charter</t>
        </is>
      </c>
      <c r="E20" s="4" t="inlineStr">
        <is>
          <t>VERIFIED</t>
        </is>
      </c>
      <c r="F20" s="3" t="inlineStr">
        <is>
          <t>64,777 chars retrieved; zero matches for 'digital accessib' or 'disabilit'</t>
        </is>
      </c>
      <c r="G20" s="3" t="inlineStr">
        <is>
          <t>investor.sebi.gov.in/Investor-charter.html</t>
        </is>
      </c>
      <c r="H20" s="2" t="inlineStr">
        <is>
          <t>2026-08-20</t>
        </is>
      </c>
      <c r="I20" s="3" t="n"/>
    </row>
    <row r="21" ht="28" customHeight="1">
      <c r="A21" s="2" t="inlineStr">
        <is>
          <t>C2</t>
        </is>
      </c>
      <c r="B21" s="3" t="inlineStr">
        <is>
          <t>The most recent Investor Charter circular for stock brokers is 21 Feb 2025</t>
        </is>
      </c>
      <c r="C21" s="2" t="inlineStr">
        <is>
          <t>Article</t>
        </is>
      </c>
      <c r="D21" s="2" t="inlineStr">
        <is>
          <t>Charter</t>
        </is>
      </c>
      <c r="E21" s="5" t="inlineStr">
        <is>
          <t>NARROWER</t>
        </is>
      </c>
      <c r="F21" s="3" t="inlineStr">
        <is>
          <t>Circular located; Dec 2025 to May 2026 window not exhaustively searched</t>
        </is>
      </c>
      <c r="G21" s="3" t="inlineStr">
        <is>
          <t>SEBI/HO/MIRSD/MIRSD-PoD1/P/CIR/2025/22</t>
        </is>
      </c>
      <c r="H21" s="2" t="inlineStr">
        <is>
          <t>2026-08-20</t>
        </is>
      </c>
      <c r="I21" s="3" t="inlineStr">
        <is>
          <t>Keep the hedge 'that I can locate'. Tracked as OQ-1.</t>
        </is>
      </c>
    </row>
    <row r="22">
      <c r="A22" s="2" t="inlineStr">
        <is>
          <t>C3</t>
        </is>
      </c>
      <c r="B22" s="3" t="inlineStr">
        <is>
          <t>'Eleven brokers' charters'</t>
        </is>
      </c>
      <c r="C22" s="2" t="inlineStr">
        <is>
          <t>Article v1</t>
        </is>
      </c>
      <c r="D22" s="2" t="inlineStr">
        <is>
          <t>Charter</t>
        </is>
      </c>
      <c r="E22" s="6" t="inlineStr">
        <is>
          <t>CORRECTED</t>
        </is>
      </c>
      <c r="F22" s="3" t="inlineStr">
        <is>
          <t>Ten. 5paisa returns HTTP 403 and no charter was retrievable</t>
        </is>
      </c>
      <c r="G22" s="3" t="inlineStr">
        <is>
          <t>out/charter-verification.json</t>
        </is>
      </c>
      <c r="H22" s="2" t="inlineStr">
        <is>
          <t>2026-08-20</t>
        </is>
      </c>
      <c r="I22" s="3" t="inlineStr">
        <is>
          <t>Corrected throughout the article.</t>
        </is>
      </c>
    </row>
    <row r="23" ht="28" customHeight="1">
      <c r="A23" s="2" t="inlineStr">
        <is>
          <t>C4</t>
        </is>
      </c>
      <c r="B23" s="3" t="inlineStr">
        <is>
          <t>None of the charters checked contains the digital accessibility right</t>
        </is>
      </c>
      <c r="C23" s="2" t="inlineStr">
        <is>
          <t>Article; guide</t>
        </is>
      </c>
      <c r="D23" s="2" t="inlineStr">
        <is>
          <t>Charter</t>
        </is>
      </c>
      <c r="E23" s="4" t="inlineStr">
        <is>
          <t>VERIFIED</t>
        </is>
      </c>
      <c r="F23" s="3" t="inlineStr">
        <is>
          <t>32 documents, 10 brokers, ~414,000 chars, whitespace-normalised. Zero matches</t>
        </is>
      </c>
      <c r="G23" s="3" t="inlineStr">
        <is>
          <t>out/charter-verification.json</t>
        </is>
      </c>
      <c r="H23" s="2" t="inlineStr">
        <is>
          <t>2026-08-20</t>
        </is>
      </c>
      <c r="I23" s="3" t="n"/>
    </row>
    <row r="24">
      <c r="A24" s="2" t="inlineStr">
        <is>
          <t>C5</t>
        </is>
      </c>
      <c r="B24" s="3" t="inlineStr">
        <is>
          <t>'Every charter is the standard SEBI template, word for word'</t>
        </is>
      </c>
      <c r="C24" s="2" t="inlineStr">
        <is>
          <t>Article v1</t>
        </is>
      </c>
      <c r="D24" s="2" t="inlineStr">
        <is>
          <t>Charter</t>
        </is>
      </c>
      <c r="E24" s="6" t="inlineStr">
        <is>
          <t>CORRECTED</t>
        </is>
      </c>
      <c r="F24" s="3" t="inlineStr">
        <is>
          <t>Only 7 of 10 carry the legacy clause XVII</t>
        </is>
      </c>
      <c r="G24" s="3" t="inlineStr">
        <is>
          <t>out/charter-verification.json</t>
        </is>
      </c>
      <c r="H24" s="2" t="inlineStr">
        <is>
          <t>2026-08-20</t>
        </is>
      </c>
      <c r="I24" s="3" t="inlineStr">
        <is>
          <t>Removed; replaced with the claim actually evidenced.</t>
        </is>
      </c>
    </row>
    <row r="25" ht="28" customHeight="1">
      <c r="A25" s="2" t="inlineStr">
        <is>
          <t>C6</t>
        </is>
      </c>
      <c r="B25" s="3" t="inlineStr">
        <is>
          <t>Corpus adequacy for two brokers</t>
        </is>
      </c>
      <c r="C25" s="2" t="inlineStr">
        <is>
          <t>Article</t>
        </is>
      </c>
      <c r="D25" s="2" t="inlineStr">
        <is>
          <t>Charter</t>
        </is>
      </c>
      <c r="E25" s="5" t="inlineStr">
        <is>
          <t>NARROWER</t>
        </is>
      </c>
      <c r="F25" s="3" t="inlineStr">
        <is>
          <t>Kotak 2,728 chars and HDFC 5,874 are thin; likely landing pages not full charters</t>
        </is>
      </c>
      <c r="G25" s="3" t="inlineStr">
        <is>
          <t>out/charter-verification.json</t>
        </is>
      </c>
      <c r="H25" s="2" t="inlineStr">
        <is>
          <t>2026-08-20</t>
        </is>
      </c>
      <c r="I25" s="3" t="inlineStr">
        <is>
          <t>Stated as a caveat in the article.</t>
        </is>
      </c>
    </row>
    <row r="26">
      <c r="A26" s="2" t="inlineStr">
        <is>
          <t>C7</t>
        </is>
      </c>
      <c r="B26" s="3" t="inlineStr">
        <is>
          <t>In Angel One's charter neither 'accessib' nor 'disab' appears</t>
        </is>
      </c>
      <c r="C26" s="2" t="inlineStr">
        <is>
          <t>Article</t>
        </is>
      </c>
      <c r="D26" s="2" t="inlineStr">
        <is>
          <t>Charter</t>
        </is>
      </c>
      <c r="E26" s="4" t="inlineStr">
        <is>
          <t>VERIFIED</t>
        </is>
      </c>
      <c r="F26" s="3" t="inlineStr">
        <is>
          <t>34,416 chars, neither string present</t>
        </is>
      </c>
      <c r="G26" s="3" t="inlineStr">
        <is>
          <t>out/charters/angel-one.txt</t>
        </is>
      </c>
      <c r="H26" s="2" t="inlineStr">
        <is>
          <t>2026-08-20</t>
        </is>
      </c>
      <c r="I26" s="3" t="n"/>
    </row>
    <row r="27" ht="28" customHeight="1">
      <c r="A27" s="2" t="inlineStr">
        <is>
          <t>D1</t>
        </is>
      </c>
      <c r="B27" s="3" t="inlineStr">
        <is>
          <t>Of the brokers checked, one publishes an accessibility statement</t>
        </is>
      </c>
      <c r="C27" s="2" t="inlineStr">
        <is>
          <t>Article; guide Ch.6</t>
        </is>
      </c>
      <c r="D27" s="2" t="inlineStr">
        <is>
          <t>Disclosure</t>
        </is>
      </c>
      <c r="E27" s="4" t="inlineStr">
        <is>
          <t>VERIFIED</t>
        </is>
      </c>
      <c r="F27" s="3" t="inlineStr">
        <is>
          <t>Kotak Securities; page retrieved and read in full</t>
        </is>
      </c>
      <c r="G27" s="12" t="inlineStr">
        <is>
          <t>kotakneo.com/disclaimer/web-accessibility-statement/</t>
        </is>
      </c>
      <c r="H27" s="2" t="inlineStr">
        <is>
          <t>2026-08-20</t>
        </is>
      </c>
      <c r="I27" s="3" t="n"/>
    </row>
    <row r="28" ht="28" customHeight="1">
      <c r="A28" s="2" t="inlineStr">
        <is>
          <t>D2</t>
        </is>
      </c>
      <c r="B28" s="3" t="inlineStr">
        <is>
          <t>Kotak's statement names Pivotal Accessibility, 'a DEPwD empaneled auditor'</t>
        </is>
      </c>
      <c r="C28" s="2" t="inlineStr">
        <is>
          <t>Article</t>
        </is>
      </c>
      <c r="D28" s="2" t="inlineStr">
        <is>
          <t>Disclosure</t>
        </is>
      </c>
      <c r="E28" s="4" t="inlineStr">
        <is>
          <t>VERIFIED</t>
        </is>
      </c>
      <c r="F28" s="3" t="inlineStr">
        <is>
          <t>Verbatim from the live page</t>
        </is>
      </c>
      <c r="G28" s="3" t="inlineStr">
        <is>
          <t>kotakneo.com</t>
        </is>
      </c>
      <c r="H28" s="2" t="inlineStr">
        <is>
          <t>2026-08-20</t>
        </is>
      </c>
      <c r="I28" s="3" t="n"/>
    </row>
    <row r="29">
      <c r="A29" s="2" t="inlineStr">
        <is>
          <t>D3</t>
        </is>
      </c>
      <c r="B29" s="3" t="inlineStr">
        <is>
          <t>Kotak names no conformance standard or level</t>
        </is>
      </c>
      <c r="C29" s="2" t="inlineStr">
        <is>
          <t>Article</t>
        </is>
      </c>
      <c r="D29" s="2" t="inlineStr">
        <is>
          <t>Disclosure</t>
        </is>
      </c>
      <c r="E29" s="4" t="inlineStr">
        <is>
          <t>VERIFIED</t>
        </is>
      </c>
      <c r="F29" s="3" t="inlineStr">
        <is>
          <t>Verbatim: 'recognised accessibility standards'</t>
        </is>
      </c>
      <c r="G29" s="3" t="inlineStr">
        <is>
          <t>kotakneo.com</t>
        </is>
      </c>
      <c r="H29" s="2" t="inlineStr">
        <is>
          <t>2026-08-20</t>
        </is>
      </c>
      <c r="I29" s="3" t="n"/>
    </row>
    <row r="30" ht="28" customHeight="1">
      <c r="A30" s="2" t="inlineStr">
        <is>
          <t>D4</t>
        </is>
      </c>
      <c r="B30" s="3" t="inlineStr">
        <is>
          <t>'Kotak's statement is thin'</t>
        </is>
      </c>
      <c r="C30" s="2" t="inlineStr">
        <is>
          <t>Article v1</t>
        </is>
      </c>
      <c r="D30" s="2" t="inlineStr">
        <is>
          <t>Disclosure</t>
        </is>
      </c>
      <c r="E30" s="6" t="inlineStr">
        <is>
          <t>CORRECTED</t>
        </is>
      </c>
      <c r="F30" s="3" t="inlineStr">
        <is>
          <t>It declares scope, names an auditor, states a phased roadmap, carries a Known Limitations section and a feedback route</t>
        </is>
      </c>
      <c r="G30" s="3" t="inlineStr">
        <is>
          <t>kotakneo.com</t>
        </is>
      </c>
      <c r="H30" s="2" t="inlineStr">
        <is>
          <t>2026-08-20</t>
        </is>
      </c>
      <c r="I30" s="3" t="inlineStr">
        <is>
          <t>Ungenerous. Article rewritten to credit it before noting gaps.</t>
        </is>
      </c>
    </row>
    <row r="31">
      <c r="A31" s="2" t="inlineStr">
        <is>
          <t>D5</t>
        </is>
      </c>
      <c r="B31" s="3" t="inlineStr">
        <is>
          <t>SEBI s.5.1 specifies IAAP; Pivotal is described as DEPwD-empanelled</t>
        </is>
      </c>
      <c r="C31" s="2" t="inlineStr">
        <is>
          <t>Article</t>
        </is>
      </c>
      <c r="D31" s="2" t="inlineStr">
        <is>
          <t>Disclosure</t>
        </is>
      </c>
      <c r="E31" s="4" t="inlineStr">
        <is>
          <t>VERIFIED</t>
        </is>
      </c>
      <c r="F31" s="3" t="inlineStr">
        <is>
          <t>Both verbatim from their sources</t>
        </is>
      </c>
      <c r="G31" s="3" t="inlineStr">
        <is>
          <t>2025/111 s.5.1; kotakneo.com</t>
        </is>
      </c>
      <c r="H31" s="2" t="inlineStr">
        <is>
          <t>2026-08-20</t>
        </is>
      </c>
      <c r="I31" s="3" t="inlineStr">
        <is>
          <t>Frame as a discrepancy, not as Pivotal being unqualified.</t>
        </is>
      </c>
    </row>
    <row r="32" ht="28" customHeight="1">
      <c r="A32" s="2" t="inlineStr">
        <is>
          <t>D6</t>
        </is>
      </c>
      <c r="B32" s="3" t="inlineStr">
        <is>
          <t>UTI AMC says it is 'progressively working towards enhancing digital accessibility in line with the WCAG'</t>
        </is>
      </c>
      <c r="C32" s="2" t="inlineStr">
        <is>
          <t>Article</t>
        </is>
      </c>
      <c r="D32" s="2" t="inlineStr">
        <is>
          <t>Disclosure</t>
        </is>
      </c>
      <c r="E32" s="4" t="inlineStr">
        <is>
          <t>VERIFIED</t>
        </is>
      </c>
      <c r="F32" s="3" t="inlineStr">
        <is>
          <t>Verbatim from the filed BRSR PDF, which carries independent assurance</t>
        </is>
      </c>
      <c r="G32" s="12" t="inlineStr">
        <is>
          <t>UTI/AMC/CS/SE/2026-27/0682, 24 Jun 2026</t>
        </is>
      </c>
      <c r="H32" s="2" t="inlineStr">
        <is>
          <t>2026-08-20</t>
        </is>
      </c>
      <c r="I32" s="3" t="n"/>
    </row>
    <row r="33" ht="42" customHeight="1">
      <c r="A33" s="2" t="inlineStr">
        <is>
          <t>D7</t>
        </is>
      </c>
      <c r="B33" s="3" t="inlineStr">
        <is>
          <t>About a third of investor PDFs are untagged</t>
        </is>
      </c>
      <c r="C33" s="2" t="inlineStr">
        <is>
          <t>Article</t>
        </is>
      </c>
      <c r="D33" s="2" t="inlineStr">
        <is>
          <t>Disclosure</t>
        </is>
      </c>
      <c r="E33" s="4" t="inlineStr">
        <is>
          <t>VERIFIED</t>
        </is>
      </c>
      <c r="F33" s="3" t="inlineStr">
        <is>
          <t>25 of 76 PDFs hosted on the brokers' own domains lack a structure tree = 32.9%. Including third-party hosts it is 31 of 84 = 36.9%</t>
        </is>
      </c>
      <c r="G33" s="3" t="inlineStr">
        <is>
          <t>out/pdfcheck.json</t>
        </is>
      </c>
      <c r="H33" s="2" t="inlineStr">
        <is>
          <t>2026-08-20</t>
        </is>
      </c>
      <c r="I33" s="3" t="inlineStr">
        <is>
          <t>The article says 'from the brokers' own websites', so the 25/76 basis is the correct one. State the basis whenever the figure is used.</t>
        </is>
      </c>
    </row>
    <row r="34">
      <c r="A34" s="2" t="inlineStr">
        <is>
          <t>D8</t>
        </is>
      </c>
      <c r="B34" s="3" t="inlineStr">
        <is>
          <t>'SEBI's own circular PDFs are tagged'</t>
        </is>
      </c>
      <c r="C34" s="2" t="inlineStr">
        <is>
          <t>Article</t>
        </is>
      </c>
      <c r="D34" s="2" t="inlineStr">
        <is>
          <t>Disclosure</t>
        </is>
      </c>
      <c r="E34" s="5" t="inlineStr">
        <is>
          <t>NARROWER</t>
        </is>
      </c>
      <c r="F34" s="3" t="inlineStr">
        <is>
          <t>Three checked, all pass. Cannot generalise to all</t>
        </is>
      </c>
      <c r="G34" s="3" t="inlineStr">
        <is>
          <t>2025/111, 2025/131, Dec 2025</t>
        </is>
      </c>
      <c r="H34" s="2" t="inlineStr">
        <is>
          <t>2026-08-20</t>
        </is>
      </c>
      <c r="I34" s="3" t="inlineStr">
        <is>
          <t>Article says 'the three I checked'.</t>
        </is>
      </c>
    </row>
    <row r="35">
      <c r="A35" s="2" t="inlineStr">
        <is>
          <t>V1</t>
        </is>
      </c>
      <c r="B35" s="3" t="inlineStr">
        <is>
          <t>Vendors cite WCAG 2.1/2.2 AA, GIGW 3.0, IS 17802:2021</t>
        </is>
      </c>
      <c r="C35" s="2" t="inlineStr">
        <is>
          <t>Article</t>
        </is>
      </c>
      <c r="D35" s="2" t="inlineStr">
        <is>
          <t>Third party</t>
        </is>
      </c>
      <c r="E35" s="4" t="inlineStr">
        <is>
          <t>VERIFIED</t>
        </is>
      </c>
      <c r="F35" s="3" t="inlineStr">
        <is>
          <t>BarrierBreak readiness guide; enabled.in</t>
        </is>
      </c>
      <c r="G35" s="3" t="inlineStr">
        <is>
          <t>Live pages</t>
        </is>
      </c>
      <c r="H35" s="2" t="inlineStr">
        <is>
          <t>2026-08-20</t>
        </is>
      </c>
      <c r="I35" s="3" t="n"/>
    </row>
    <row r="36">
      <c r="A36" s="2" t="inlineStr">
        <is>
          <t>V2</t>
        </is>
      </c>
      <c r="B36" s="3" t="inlineStr">
        <is>
          <t>'A seven-thousand-word readiness document'</t>
        </is>
      </c>
      <c r="C36" s="2" t="inlineStr">
        <is>
          <t>Article v1</t>
        </is>
      </c>
      <c r="D36" s="2" t="inlineStr">
        <is>
          <t>Third party</t>
        </is>
      </c>
      <c r="E36" s="6" t="inlineStr">
        <is>
          <t>CORRECTED</t>
        </is>
      </c>
      <c r="F36" s="3" t="inlineStr">
        <is>
          <t>Approximately 12,000-13,000 words</t>
        </is>
      </c>
      <c r="G36" s="3" t="inlineStr">
        <is>
          <t>Live page</t>
        </is>
      </c>
      <c r="H36" s="2" t="inlineStr">
        <is>
          <t>2026-08-20</t>
        </is>
      </c>
      <c r="I36" s="3" t="inlineStr">
        <is>
          <t>Corrected.</t>
        </is>
      </c>
    </row>
    <row r="37" ht="28" customHeight="1">
      <c r="A37" s="2" t="inlineStr">
        <is>
          <t>V3</t>
        </is>
      </c>
      <c r="B37" s="3" t="inlineStr">
        <is>
          <t>'Still lists 31 July 2026, three weeks after it moved'</t>
        </is>
      </c>
      <c r="C37" s="2" t="inlineStr">
        <is>
          <t>Article v1</t>
        </is>
      </c>
      <c r="D37" s="2" t="inlineStr">
        <is>
          <t>Third party</t>
        </is>
      </c>
      <c r="E37" s="6" t="inlineStr">
        <is>
          <t>CORRECTED</t>
        </is>
      </c>
      <c r="F37" s="3" t="inlineStr">
        <is>
          <t>The page shows no publication or revision date at all, so no claim about when it was updated is available</t>
        </is>
      </c>
      <c r="G37" s="3" t="inlineStr">
        <is>
          <t>Live page</t>
        </is>
      </c>
      <c r="H37" s="2" t="inlineStr">
        <is>
          <t>2026-08-20</t>
        </is>
      </c>
      <c r="I37" s="3" t="inlineStr">
        <is>
          <t>Corrected to 'as retrieved on 20 August 2026, it lists...'</t>
        </is>
      </c>
    </row>
    <row r="38">
      <c r="A38" s="2" t="inlineStr">
        <is>
          <t>V4</t>
        </is>
      </c>
      <c r="B38" s="3" t="inlineStr">
        <is>
          <t>That guide lists the cancelled 14 Dec 2025 milestone as live</t>
        </is>
      </c>
      <c r="C38" s="2" t="inlineStr">
        <is>
          <t>Article</t>
        </is>
      </c>
      <c r="D38" s="2" t="inlineStr">
        <is>
          <t>Third party</t>
        </is>
      </c>
      <c r="E38" s="4" t="inlineStr">
        <is>
          <t>VERIFIED</t>
        </is>
      </c>
      <c r="F38" s="3" t="inlineStr">
        <is>
          <t>Both sections confirmed on the live page</t>
        </is>
      </c>
      <c r="G38" s="3" t="inlineStr">
        <is>
          <t>Live page</t>
        </is>
      </c>
      <c r="H38" s="2" t="inlineStr">
        <is>
          <t>2026-08-20</t>
        </is>
      </c>
      <c r="I38" s="3" t="n"/>
    </row>
    <row r="39">
      <c r="A39" s="2" t="inlineStr">
        <is>
          <t>V5</t>
        </is>
      </c>
      <c r="B39" s="3" t="inlineStr">
        <is>
          <t>enabled.in advertises 'IAAP Certified' as a corporate credential</t>
        </is>
      </c>
      <c r="C39" s="2" t="inlineStr">
        <is>
          <t>Article</t>
        </is>
      </c>
      <c r="D39" s="2" t="inlineStr">
        <is>
          <t>Third party</t>
        </is>
      </c>
      <c r="E39" s="4" t="inlineStr">
        <is>
          <t>VERIFIED</t>
        </is>
      </c>
      <c r="F39" s="3" t="inlineStr">
        <is>
          <t>Page text confirmed; IAAP certifies individuals, not companies</t>
        </is>
      </c>
      <c r="G39" s="3" t="inlineStr">
        <is>
          <t>enabled.in</t>
        </is>
      </c>
      <c r="H39" s="2" t="inlineStr">
        <is>
          <t>2026-08-20</t>
        </is>
      </c>
      <c r="I39" s="3" t="inlineStr">
        <is>
          <t>Frame as a precision point, not an accusation.</t>
        </is>
      </c>
    </row>
    <row r="40">
      <c r="A40" s="2" t="inlineStr">
        <is>
          <t>K1</t>
        </is>
      </c>
      <c r="B40" s="3" t="inlineStr">
        <is>
          <t>'Kotak has the lowest critical-violation density'</t>
        </is>
      </c>
      <c r="C40" s="2" t="inlineStr">
        <is>
          <t>Chat, 20 Aug</t>
        </is>
      </c>
      <c r="D40" s="2" t="inlineStr">
        <is>
          <t>Data</t>
        </is>
      </c>
      <c r="E40" s="6" t="inlineStr">
        <is>
          <t>OVERSTATED</t>
        </is>
      </c>
      <c r="F40" s="3" t="inlineStr">
        <is>
          <t>FALSE. Four brokers sit at 0.00/1k; Kotak is fifth at 0.21</t>
        </is>
      </c>
      <c r="G40" s="3" t="inlineStr">
        <is>
          <t>Broker Data tab</t>
        </is>
      </c>
      <c r="H40" s="2" t="inlineStr">
        <is>
          <t>2026-08-20</t>
        </is>
      </c>
      <c r="I40" s="3" t="inlineStr">
        <is>
          <t>Withdrawn. Never published.</t>
        </is>
      </c>
    </row>
    <row r="41" ht="28" customHeight="1">
      <c r="A41" s="2" t="inlineStr">
        <is>
          <t>K2</t>
        </is>
      </c>
      <c r="B41" s="3" t="inlineStr">
        <is>
          <t>'Kotak has no failing charter PDFs'</t>
        </is>
      </c>
      <c r="C41" s="2" t="inlineStr">
        <is>
          <t>Chat, 20 Aug</t>
        </is>
      </c>
      <c r="D41" s="2" t="inlineStr">
        <is>
          <t>Data</t>
        </is>
      </c>
      <c r="E41" s="6" t="inlineStr">
        <is>
          <t>OVERSTATED</t>
        </is>
      </c>
      <c r="F41" s="3" t="inlineStr">
        <is>
          <t>MISLEADING. Kotak had zero charter PDFs tested; 0/0 is not a pass</t>
        </is>
      </c>
      <c r="G41" s="3" t="inlineStr">
        <is>
          <t>Broker Data tab</t>
        </is>
      </c>
      <c r="H41" s="2" t="inlineStr">
        <is>
          <t>2026-08-20</t>
        </is>
      </c>
      <c r="I41" s="3" t="inlineStr">
        <is>
          <t>Same for Zerodha, HDFC and Dhan. Withdrawn.</t>
        </is>
      </c>
    </row>
    <row r="42">
      <c r="A42" s="2" t="inlineStr">
        <is>
          <t>K3</t>
        </is>
      </c>
      <c r="B42" s="3" t="inlineStr">
        <is>
          <t>Kotak has the lowest serious-violation density</t>
        </is>
      </c>
      <c r="C42" s="2" t="inlineStr">
        <is>
          <t>Chat, 20 Aug</t>
        </is>
      </c>
      <c r="D42" s="2" t="inlineStr">
        <is>
          <t>Data</t>
        </is>
      </c>
      <c r="E42" s="4" t="inlineStr">
        <is>
          <t>VERIFIED</t>
        </is>
      </c>
      <c r="F42" s="3" t="inlineStr">
        <is>
          <t>2.21 per 1,000 DOM nodes, lowest of ten</t>
        </is>
      </c>
      <c r="G42" s="3" t="inlineStr">
        <is>
          <t>Broker Data tab</t>
        </is>
      </c>
      <c r="H42" s="2" t="inlineStr">
        <is>
          <t>2026-08-20</t>
        </is>
      </c>
      <c r="I42" s="3" t="inlineStr">
        <is>
          <t>Subject to S1 - unverified by hand.</t>
        </is>
      </c>
    </row>
    <row r="43">
      <c r="A43" s="2" t="inlineStr">
        <is>
          <t>K4</t>
        </is>
      </c>
      <c r="B43" s="3" t="inlineStr">
        <is>
          <t>Kotak is the only broker with a published accessibility statement</t>
        </is>
      </c>
      <c r="C43" s="2" t="inlineStr">
        <is>
          <t>Chat; article</t>
        </is>
      </c>
      <c r="D43" s="2" t="inlineStr">
        <is>
          <t>Data</t>
        </is>
      </c>
      <c r="E43" s="4" t="inlineStr">
        <is>
          <t>VERIFIED</t>
        </is>
      </c>
      <c r="F43" s="3" t="inlineStr">
        <is>
          <t>Link enumeration across ten home pages</t>
        </is>
      </c>
      <c r="G43" s="3" t="inlineStr">
        <is>
          <t>Broker Data tab</t>
        </is>
      </c>
      <c r="H43" s="2" t="inlineStr">
        <is>
          <t>2026-08-20</t>
        </is>
      </c>
      <c r="I43" s="3" t="n"/>
    </row>
    <row r="44" ht="28" customHeight="1">
      <c r="A44" s="2" t="inlineStr">
        <is>
          <t>K5</t>
        </is>
      </c>
      <c r="B44" s="3" t="inlineStr">
        <is>
          <t>'Kotak is best at nearly everything'</t>
        </is>
      </c>
      <c r="C44" s="2" t="inlineStr">
        <is>
          <t>Chat, 20 Aug</t>
        </is>
      </c>
      <c r="D44" s="2" t="inlineStr">
        <is>
          <t>Data</t>
        </is>
      </c>
      <c r="E44" s="6" t="inlineStr">
        <is>
          <t>OVERSTATED</t>
        </is>
      </c>
      <c r="F44" s="3" t="inlineStr">
        <is>
          <t>Two of the four supporting claims fail. What survives is K3 and K4</t>
        </is>
      </c>
      <c r="G44" s="3" t="inlineStr">
        <is>
          <t>Broker Data tab</t>
        </is>
      </c>
      <c r="H44" s="2" t="inlineStr">
        <is>
          <t>2026-08-20</t>
        </is>
      </c>
      <c r="I44" s="3" t="inlineStr">
        <is>
          <t>Withdrawn. Do not build a piece on it.</t>
        </is>
      </c>
    </row>
    <row r="45" ht="28" customHeight="1">
      <c r="A45" s="2" t="inlineStr">
        <is>
          <t>K6</t>
        </is>
      </c>
      <c r="B45" s="3" t="inlineStr">
        <is>
          <t>'Disclosure does not predict artifact quality'</t>
        </is>
      </c>
      <c r="C45" s="2" t="inlineStr">
        <is>
          <t>Chat, 20 Aug</t>
        </is>
      </c>
      <c r="D45" s="2" t="inlineStr">
        <is>
          <t>Data</t>
        </is>
      </c>
      <c r="E45" s="7" t="inlineStr">
        <is>
          <t>UNVERIFIED</t>
        </is>
      </c>
      <c r="F45" s="3" t="inlineStr">
        <is>
          <t>Spearman rho = 0.30, weakly positive. Band A has near-zero variance (7 of 10 score nil) so the correlation is not interpretable</t>
        </is>
      </c>
      <c r="G45" s="3" t="inlineStr">
        <is>
          <t>Broker Data tab</t>
        </is>
      </c>
      <c r="H45" s="2" t="inlineStr">
        <is>
          <t>2026-08-20</t>
        </is>
      </c>
      <c r="I45" s="3" t="inlineStr">
        <is>
          <t>Hypothesis not supported. Not publishable either way at n=10.</t>
        </is>
      </c>
    </row>
    <row r="46">
      <c r="A46" s="2" t="inlineStr">
        <is>
          <t>K7</t>
        </is>
      </c>
      <c r="B46" s="3" t="inlineStr">
        <is>
          <t>Band A cannot carry a scored article</t>
        </is>
      </c>
      <c r="C46" s="2" t="inlineStr">
        <is>
          <t>Chat, 20 Aug</t>
        </is>
      </c>
      <c r="D46" s="2" t="inlineStr">
        <is>
          <t>Data</t>
        </is>
      </c>
      <c r="E46" s="4" t="inlineStr">
        <is>
          <t>VERIFIED</t>
        </is>
      </c>
      <c r="F46" s="3" t="inlineStr">
        <is>
          <t>Range is 0/6 to 1/6; seven of ten score zero</t>
        </is>
      </c>
      <c r="G46" s="3" t="inlineStr">
        <is>
          <t>Broker Data tab</t>
        </is>
      </c>
      <c r="H46" s="2" t="inlineStr">
        <is>
          <t>2026-08-20</t>
        </is>
      </c>
      <c r="I46" s="3" t="n"/>
    </row>
    <row r="47">
      <c r="A47" s="2" t="inlineStr">
        <is>
          <t>K8</t>
        </is>
      </c>
      <c r="B47" s="3" t="inlineStr">
        <is>
          <t>Band B has a fortyfold spread in serious-violation density</t>
        </is>
      </c>
      <c r="C47" s="2" t="inlineStr">
        <is>
          <t>Chat, 20 Aug</t>
        </is>
      </c>
      <c r="D47" s="2" t="inlineStr">
        <is>
          <t>Data</t>
        </is>
      </c>
      <c r="E47" s="4" t="inlineStr">
        <is>
          <t>VERIFIED</t>
        </is>
      </c>
      <c r="F47" s="3" t="inlineStr">
        <is>
          <t>2.21 (Kotak) to 89.69 (Zerodha) per 1,000 DOM nodes</t>
        </is>
      </c>
      <c r="G47" s="3" t="inlineStr">
        <is>
          <t>Broker Data tab</t>
        </is>
      </c>
      <c r="H47" s="2" t="inlineStr">
        <is>
          <t>2026-08-20</t>
        </is>
      </c>
      <c r="I47" s="3" t="inlineStr">
        <is>
          <t>Subject to S1 - unverified by hand.</t>
        </is>
      </c>
    </row>
    <row r="48">
      <c r="A48" s="2" t="inlineStr">
        <is>
          <t>X1</t>
        </is>
      </c>
      <c r="B48" s="3" t="inlineStr">
        <is>
          <t>This workbook's own first build</t>
        </is>
      </c>
      <c r="C48" s="2" t="inlineStr">
        <is>
          <t>Workbook</t>
        </is>
      </c>
      <c r="D48" s="2" t="inlineStr">
        <is>
          <t>CORRECTED</t>
        </is>
      </c>
      <c r="E48" s="2" t="inlineStr">
        <is>
          <t>Three errors found on review: it carried the un-normalised legacy-clause count (6, should be 7); it computed the untagged-PDF share on the wrong basis; and it counted 5paisa's unmeasured Band A as a zero</t>
        </is>
      </c>
      <c r="F48" s="3" t="inlineStr">
        <is>
          <t>self-review</t>
        </is>
      </c>
      <c r="G48" s="3" t="inlineStr">
        <is>
          <t>2026-08-20</t>
        </is>
      </c>
      <c r="H48" s="2" t="inlineStr">
        <is>
          <t>The last is the exact error the rubric forbids -- scoring an unmeasured item as a failure. 5paisa now shows 'not measured'.</t>
        </is>
      </c>
    </row>
    <row r="49" ht="28" customHeight="1">
      <c r="A49" s="2" t="inlineStr">
        <is>
          <t>S1</t>
        </is>
      </c>
      <c r="B49" s="3" t="inlineStr">
        <is>
          <t>All axe, reflow, text-spacing and focus-visibility results</t>
        </is>
      </c>
      <c r="C49" s="2" t="inlineStr">
        <is>
          <t>Not published</t>
        </is>
      </c>
      <c r="D49" s="2" t="inlineStr">
        <is>
          <t>Scan</t>
        </is>
      </c>
      <c r="E49" s="7" t="inlineStr">
        <is>
          <t>UNVERIFIED</t>
        </is>
      </c>
      <c r="F49" s="3" t="inlineStr">
        <is>
          <t>No manual reproduction pass has been run</t>
        </is>
      </c>
      <c r="G49" s="3" t="inlineStr">
        <is>
          <t>out/scan.json</t>
        </is>
      </c>
      <c r="H49" s="2" t="inlineStr">
        <is>
          <t>2026-08-20</t>
        </is>
      </c>
      <c r="I49" s="3" t="inlineStr">
        <is>
          <t>GATE: nothing from the scan may be published until each failure is reproduced by hand.</t>
        </is>
      </c>
    </row>
    <row r="50"/>
    <row r="51">
      <c r="A51" s="8" t="inlineStr">
        <is>
          <t>SUMMARY</t>
        </is>
      </c>
    </row>
    <row r="52">
      <c r="A52" s="9" t="inlineStr">
        <is>
          <t>Total claims</t>
        </is>
      </c>
      <c r="B52" s="8">
        <f>COUNTA(A2:A49)</f>
        <v/>
      </c>
    </row>
    <row r="53">
      <c r="A53" s="9" t="inlineStr">
        <is>
          <t>Verified</t>
        </is>
      </c>
      <c r="B53" s="8">
        <f>COUNTIF(E2:E49,"VERIFIED")</f>
        <v/>
      </c>
    </row>
    <row r="54">
      <c r="A54" s="9" t="inlineStr">
        <is>
          <t>Narrower than first stated</t>
        </is>
      </c>
      <c r="B54" s="8">
        <f>COUNTIF(E2:E49,"NARROWER")</f>
        <v/>
      </c>
    </row>
    <row r="55">
      <c r="A55" s="9" t="inlineStr">
        <is>
          <t>Corrected</t>
        </is>
      </c>
      <c r="B55" s="8">
        <f>COUNTIF(E2:E49,"CORRECTED")</f>
        <v/>
      </c>
    </row>
    <row r="56">
      <c r="A56" s="9" t="inlineStr">
        <is>
          <t>Overstated / withdrawn</t>
        </is>
      </c>
      <c r="B56" s="8">
        <f>COUNTIF(E2:E49,"OVERSTATED")</f>
        <v/>
      </c>
    </row>
    <row r="57">
      <c r="A57" s="9" t="inlineStr">
        <is>
          <t>Not yet verified</t>
        </is>
      </c>
      <c r="B57" s="8">
        <f>COUNTIF(E2:E49,"UNVERIFIED")</f>
        <v/>
      </c>
    </row>
    <row r="58">
      <c r="A58" s="9" t="inlineStr">
        <is>
          <t>Failed verification (corrected + overstated)</t>
        </is>
      </c>
      <c r="B58" s="8">
        <f>COUNTIF(E2:E49,"CORRECTED")+COUNTIF(E2:E49,"OVERSTATED")</f>
        <v/>
      </c>
    </row>
    <row r="59"/>
    <row r="60">
      <c r="A60" s="10" t="inlineStr">
        <is>
          <t>Every 'Source' entry is a document retrieved and read in full, not a summary of it. Verified 20 August 2026.</t>
        </is>
      </c>
    </row>
  </sheetData>
  <autoFilter ref="A1:I49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6" customWidth="1" min="1" max="1"/>
    <col width="20" customWidth="1" min="2" max="2"/>
    <col width="12" customWidth="1" min="3" max="3"/>
    <col width="11" customWidth="1" min="4" max="4"/>
    <col width="8" customWidth="1" min="5" max="5"/>
    <col width="11" customWidth="1" min="6" max="6"/>
    <col width="12" customWidth="1" min="7" max="8"/>
    <col width="13" customWidth="1" min="9" max="9"/>
    <col width="17" customWidth="1" min="10" max="10"/>
    <col width="12" customWidth="1" min="11" max="12"/>
    <col width="11" customWidth="1" min="13" max="14"/>
    <col width="14" customWidth="1" min="15" max="15"/>
  </cols>
  <sheetData>
    <row r="1" ht="31.5" customHeight="1">
      <c r="A1" s="1" t="inlineStr">
        <is>
          <t>Rank</t>
        </is>
      </c>
      <c r="B1" s="1" t="inlineStr">
        <is>
          <t>Broker</t>
        </is>
      </c>
      <c r="C1" s="1" t="inlineStr">
        <is>
          <t>Band A score</t>
        </is>
      </c>
      <c r="D1" s="1" t="inlineStr">
        <is>
          <t>Band A max</t>
        </is>
      </c>
      <c r="E1" s="1" t="inlineStr">
        <is>
          <t>Grade</t>
        </is>
      </c>
      <c r="F1" s="1" t="inlineStr">
        <is>
          <t>Surfaces scanned</t>
        </is>
      </c>
      <c r="G1" s="1" t="inlineStr">
        <is>
          <t>Critical /1k DOM</t>
        </is>
      </c>
      <c r="H1" s="1" t="inlineStr">
        <is>
          <t>Serious /1k DOM</t>
        </is>
      </c>
      <c r="I1" s="1" t="inlineStr">
        <is>
          <t>Total violation nodes</t>
        </is>
      </c>
      <c r="J1" s="1" t="inlineStr">
        <is>
          <t>Worst surface</t>
        </is>
      </c>
      <c r="K1" s="1" t="inlineStr">
        <is>
          <t>Charter PDFs tested</t>
        </is>
      </c>
      <c r="L1" s="1" t="inlineStr">
        <is>
          <t>Charter PDFs failing</t>
        </is>
      </c>
      <c r="M1" s="1" t="inlineStr">
        <is>
          <t>All PDFs tested</t>
        </is>
      </c>
      <c r="N1" s="1" t="inlineStr">
        <is>
          <t>PDFs untagged</t>
        </is>
      </c>
      <c r="O1" s="1" t="inlineStr">
        <is>
          <t>Accessibility statement</t>
        </is>
      </c>
    </row>
    <row r="2">
      <c r="A2" s="2" t="n">
        <v>1</v>
      </c>
      <c r="B2" s="2" t="inlineStr">
        <is>
          <t>Groww</t>
        </is>
      </c>
      <c r="C2" s="2" t="n">
        <v>0</v>
      </c>
      <c r="D2" s="2" t="n">
        <v>6</v>
      </c>
      <c r="E2" s="2" t="inlineStr">
        <is>
          <t>E</t>
        </is>
      </c>
      <c r="F2" s="2" t="n">
        <v>4</v>
      </c>
      <c r="G2" s="2" t="n">
        <v>0</v>
      </c>
      <c r="H2" s="2" t="n">
        <v>43.44</v>
      </c>
      <c r="I2" s="2" t="n">
        <v>328</v>
      </c>
      <c r="J2" s="2" t="inlineStr">
        <is>
          <t>account_opening</t>
        </is>
      </c>
      <c r="K2" s="2" t="n">
        <v>4</v>
      </c>
      <c r="L2" s="2" t="n">
        <v>1</v>
      </c>
      <c r="M2" s="2" t="n">
        <v>14</v>
      </c>
      <c r="N2" s="2" t="n">
        <v>3</v>
      </c>
      <c r="O2" s="2" t="inlineStr">
        <is>
          <t>no</t>
        </is>
      </c>
    </row>
    <row r="3">
      <c r="A3" s="2" t="n">
        <v>2</v>
      </c>
      <c r="B3" s="2" t="inlineStr">
        <is>
          <t>Zerodha</t>
        </is>
      </c>
      <c r="C3" s="2" t="n">
        <v>0</v>
      </c>
      <c r="D3" s="2" t="n">
        <v>5</v>
      </c>
      <c r="E3" s="2" t="inlineStr">
        <is>
          <t>E</t>
        </is>
      </c>
      <c r="F3" s="2" t="n">
        <v>5</v>
      </c>
      <c r="G3" s="2" t="n">
        <v>0.52</v>
      </c>
      <c r="H3" s="2" t="n">
        <v>89.69</v>
      </c>
      <c r="I3" s="2" t="n">
        <v>231</v>
      </c>
      <c r="J3" s="2" t="inlineStr">
        <is>
          <t>home</t>
        </is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no</t>
        </is>
      </c>
    </row>
    <row r="4">
      <c r="A4" s="2" t="n">
        <v>3</v>
      </c>
      <c r="B4" s="2" t="inlineStr">
        <is>
          <t>Angel One</t>
        </is>
      </c>
      <c r="C4" s="2" t="n">
        <v>1</v>
      </c>
      <c r="D4" s="2" t="n">
        <v>6</v>
      </c>
      <c r="E4" s="2" t="inlineStr">
        <is>
          <t>D</t>
        </is>
      </c>
      <c r="F4" s="2" t="n">
        <v>5</v>
      </c>
      <c r="G4" s="2" t="n">
        <v>1.96</v>
      </c>
      <c r="H4" s="2" t="n">
        <v>4.08</v>
      </c>
      <c r="I4" s="2" t="n">
        <v>51</v>
      </c>
      <c r="J4" s="2" t="inlineStr">
        <is>
          <t>grievance</t>
        </is>
      </c>
      <c r="K4" s="2" t="n">
        <v>4</v>
      </c>
      <c r="L4" s="2" t="n">
        <v>0</v>
      </c>
      <c r="M4" s="2" t="n">
        <v>9</v>
      </c>
      <c r="N4" s="2" t="n">
        <v>1</v>
      </c>
      <c r="O4" s="2" t="inlineStr">
        <is>
          <t>no</t>
        </is>
      </c>
    </row>
    <row r="5">
      <c r="A5" s="2" t="n">
        <v>4</v>
      </c>
      <c r="B5" s="2" t="inlineStr">
        <is>
          <t>ICICI Securities</t>
        </is>
      </c>
      <c r="C5" s="2" t="n">
        <v>0</v>
      </c>
      <c r="D5" s="2" t="n">
        <v>6</v>
      </c>
      <c r="E5" s="2" t="inlineStr">
        <is>
          <t>E</t>
        </is>
      </c>
      <c r="F5" s="2" t="n">
        <v>3</v>
      </c>
      <c r="G5" s="2" t="n">
        <v>0.88</v>
      </c>
      <c r="H5" s="2" t="n">
        <v>77.23</v>
      </c>
      <c r="I5" s="2" t="n">
        <v>243</v>
      </c>
      <c r="J5" s="2" t="inlineStr">
        <is>
          <t>investor_charter</t>
        </is>
      </c>
      <c r="K5" s="2" t="n">
        <v>4</v>
      </c>
      <c r="L5" s="2" t="n">
        <v>1</v>
      </c>
      <c r="M5" s="2" t="n">
        <v>12</v>
      </c>
      <c r="N5" s="2" t="n">
        <v>6</v>
      </c>
      <c r="O5" s="2" t="inlineStr">
        <is>
          <t>no</t>
        </is>
      </c>
    </row>
    <row r="6">
      <c r="A6" s="2" t="n">
        <v>5</v>
      </c>
      <c r="B6" s="2" t="inlineStr">
        <is>
          <t>Upstox</t>
        </is>
      </c>
      <c r="C6" s="2" t="n">
        <v>0</v>
      </c>
      <c r="D6" s="2" t="n">
        <v>6</v>
      </c>
      <c r="E6" s="2" t="inlineStr">
        <is>
          <t>E</t>
        </is>
      </c>
      <c r="F6" s="2" t="n">
        <v>4</v>
      </c>
      <c r="G6" s="2" t="n">
        <v>0</v>
      </c>
      <c r="H6" s="2" t="n">
        <v>3.98</v>
      </c>
      <c r="I6" s="2" t="n">
        <v>22</v>
      </c>
      <c r="J6" s="2" t="inlineStr">
        <is>
          <t>home</t>
        </is>
      </c>
      <c r="K6" s="2" t="n">
        <v>2</v>
      </c>
      <c r="L6" s="2" t="n">
        <v>2</v>
      </c>
      <c r="M6" s="2" t="n">
        <v>11</v>
      </c>
      <c r="N6" s="2" t="n">
        <v>4</v>
      </c>
      <c r="O6" s="2" t="inlineStr">
        <is>
          <t>no</t>
        </is>
      </c>
    </row>
    <row r="7">
      <c r="A7" s="2" t="n">
        <v>6</v>
      </c>
      <c r="B7" s="2" t="inlineStr">
        <is>
          <t>Kotak Securities</t>
        </is>
      </c>
      <c r="C7" s="2" t="n">
        <v>1</v>
      </c>
      <c r="D7" s="2" t="n">
        <v>5</v>
      </c>
      <c r="E7" s="2" t="inlineStr">
        <is>
          <t>D</t>
        </is>
      </c>
      <c r="F7" s="2" t="n">
        <v>6</v>
      </c>
      <c r="G7" s="2" t="n">
        <v>0.21</v>
      </c>
      <c r="H7" s="2" t="n">
        <v>2.21</v>
      </c>
      <c r="I7" s="2" t="n">
        <v>44</v>
      </c>
      <c r="J7" s="2" t="inlineStr">
        <is>
          <t>account_opening</t>
        </is>
      </c>
      <c r="K7" s="2" t="n">
        <v>0</v>
      </c>
      <c r="L7" s="2" t="n">
        <v>0</v>
      </c>
      <c r="M7" s="2" t="n">
        <v>4</v>
      </c>
      <c r="N7" s="2" t="n">
        <v>2</v>
      </c>
      <c r="O7" s="2" t="inlineStr">
        <is>
          <t>yes</t>
        </is>
      </c>
    </row>
    <row r="8">
      <c r="A8" s="2" t="n">
        <v>7</v>
      </c>
      <c r="B8" s="2" t="inlineStr">
        <is>
          <t>HDFC Securities</t>
        </is>
      </c>
      <c r="C8" s="2" t="n">
        <v>0</v>
      </c>
      <c r="D8" s="2" t="n">
        <v>5</v>
      </c>
      <c r="E8" s="2" t="inlineStr">
        <is>
          <t>E</t>
        </is>
      </c>
      <c r="F8" s="2" t="n">
        <v>4</v>
      </c>
      <c r="G8" s="2" t="n">
        <v>1.83</v>
      </c>
      <c r="H8" s="2" t="n">
        <v>4.79</v>
      </c>
      <c r="I8" s="2" t="n">
        <v>41</v>
      </c>
      <c r="J8" s="2" t="inlineStr">
        <is>
          <t>home</t>
        </is>
      </c>
      <c r="K8" s="2" t="n">
        <v>0</v>
      </c>
      <c r="L8" s="2" t="n">
        <v>0</v>
      </c>
      <c r="M8" s="2" t="n">
        <v>3</v>
      </c>
      <c r="N8" s="2" t="n">
        <v>3</v>
      </c>
      <c r="O8" s="2" t="inlineStr">
        <is>
          <t>no</t>
        </is>
      </c>
    </row>
    <row r="9">
      <c r="A9" s="2" t="n">
        <v>8</v>
      </c>
      <c r="B9" s="2" t="inlineStr">
        <is>
          <t>SBI Securities</t>
        </is>
      </c>
      <c r="C9" s="2" t="n">
        <v>1</v>
      </c>
      <c r="D9" s="2" t="n">
        <v>6</v>
      </c>
      <c r="E9" s="2" t="inlineStr">
        <is>
          <t>D</t>
        </is>
      </c>
      <c r="F9" s="2" t="n">
        <v>3</v>
      </c>
      <c r="G9" s="2" t="n">
        <v>0</v>
      </c>
      <c r="H9" s="2" t="n">
        <v>9.619999999999999</v>
      </c>
      <c r="I9" s="2" t="n">
        <v>39</v>
      </c>
      <c r="J9" s="2" t="inlineStr">
        <is>
          <t>home</t>
        </is>
      </c>
      <c r="K9" s="2" t="n">
        <v>3</v>
      </c>
      <c r="L9" s="2" t="n">
        <v>0</v>
      </c>
      <c r="M9" s="2" t="n">
        <v>9</v>
      </c>
      <c r="N9" s="2" t="n">
        <v>1</v>
      </c>
      <c r="O9" s="2" t="inlineStr">
        <is>
          <t>no</t>
        </is>
      </c>
    </row>
    <row r="10">
      <c r="A10" s="2" t="n">
        <v>9</v>
      </c>
      <c r="B10" s="2" t="inlineStr">
        <is>
          <t>Dhan</t>
        </is>
      </c>
      <c r="C10" s="2" t="n">
        <v>0</v>
      </c>
      <c r="D10" s="2" t="n">
        <v>5</v>
      </c>
      <c r="E10" s="2" t="inlineStr">
        <is>
          <t>E</t>
        </is>
      </c>
      <c r="F10" s="2" t="n">
        <v>5</v>
      </c>
      <c r="G10" s="2" t="n">
        <v>1.58</v>
      </c>
      <c r="H10" s="2" t="n">
        <v>29.21</v>
      </c>
      <c r="I10" s="2" t="n">
        <v>353</v>
      </c>
      <c r="J10" s="2" t="inlineStr">
        <is>
          <t>account_opening</t>
        </is>
      </c>
      <c r="K10" s="2" t="n">
        <v>0</v>
      </c>
      <c r="L10" s="2" t="n">
        <v>0</v>
      </c>
      <c r="M10" s="2" t="n">
        <v>9</v>
      </c>
      <c r="N10" s="2" t="n">
        <v>3</v>
      </c>
      <c r="O10" s="2" t="inlineStr">
        <is>
          <t>no</t>
        </is>
      </c>
    </row>
    <row r="11">
      <c r="A11" s="2" t="n">
        <v>10</v>
      </c>
      <c r="B11" s="2" t="inlineStr">
        <is>
          <t>Motilal Oswal</t>
        </is>
      </c>
      <c r="C11" s="2" t="n">
        <v>0</v>
      </c>
      <c r="D11" s="2" t="n">
        <v>6</v>
      </c>
      <c r="E11" s="2" t="inlineStr">
        <is>
          <t>E</t>
        </is>
      </c>
      <c r="F11" s="2" t="n">
        <v>3</v>
      </c>
      <c r="G11" s="2" t="n">
        <v>0</v>
      </c>
      <c r="H11" s="2" t="n">
        <v>12.92</v>
      </c>
      <c r="I11" s="2" t="n">
        <v>50</v>
      </c>
      <c r="J11" s="2" t="inlineStr">
        <is>
          <t>account_opening</t>
        </is>
      </c>
      <c r="K11" s="2" t="n">
        <v>3</v>
      </c>
      <c r="L11" s="2" t="n">
        <v>3</v>
      </c>
      <c r="M11" s="2" t="n">
        <v>5</v>
      </c>
      <c r="N11" s="2" t="n">
        <v>2</v>
      </c>
      <c r="O11" s="2" t="inlineStr">
        <is>
          <t>no</t>
        </is>
      </c>
    </row>
    <row r="12">
      <c r="A12" s="2" t="n">
        <v>11</v>
      </c>
      <c r="B12" s="2" t="inlineStr">
        <is>
          <t>5paisa</t>
        </is>
      </c>
      <c r="C12" s="2" t="inlineStr">
        <is>
          <t>not measured</t>
        </is>
      </c>
      <c r="D12" s="2" t="inlineStr">
        <is>
          <t>not measured</t>
        </is>
      </c>
      <c r="E12" s="2" t="inlineStr">
        <is>
          <t>not measured</t>
        </is>
      </c>
      <c r="F12" s="2" t="n">
        <v>0</v>
      </c>
      <c r="G12" s="2" t="inlineStr">
        <is>
          <t>not measured</t>
        </is>
      </c>
      <c r="H12" s="2" t="inlineStr">
        <is>
          <t>not measured</t>
        </is>
      </c>
      <c r="I12" s="2" t="inlineStr">
        <is>
          <t>not measured</t>
        </is>
      </c>
      <c r="J12" s="2" t="inlineStr">
        <is>
          <t>not measured</t>
        </is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no</t>
        </is>
      </c>
    </row>
    <row r="14">
      <c r="B14" s="8" t="inlineStr">
        <is>
          <t>TOTALS / RANGE</t>
        </is>
      </c>
    </row>
    <row r="15">
      <c r="B15" s="9" t="inlineStr">
        <is>
          <t>Brokers in sample</t>
        </is>
      </c>
      <c r="C15" s="8">
        <f>COUNTA(B2:B12)</f>
        <v/>
      </c>
    </row>
    <row r="16">
      <c r="B16" s="9" t="inlineStr">
        <is>
          <t>Brokers actually measured</t>
        </is>
      </c>
      <c r="C16" s="8">
        <f>COUNTA(B2:B12)-COUNTIF(C2:C12,"not measured")</f>
        <v/>
      </c>
    </row>
    <row r="17">
      <c r="B17" s="9" t="inlineStr">
        <is>
          <t>With a published statement</t>
        </is>
      </c>
      <c r="C17" s="8">
        <f>COUNTIF(O2:O12,"yes")</f>
        <v/>
      </c>
    </row>
    <row r="18">
      <c r="B18" s="9" t="inlineStr">
        <is>
          <t>Band A scoring zero (of those measured)</t>
        </is>
      </c>
      <c r="C18" s="8">
        <f>COUNTIF(C2:C12,0)</f>
        <v/>
      </c>
    </row>
    <row r="19">
      <c r="B19" s="9" t="inlineStr">
        <is>
          <t>Brokers at zero critical</t>
        </is>
      </c>
      <c r="C19" s="8">
        <f>COUNTIF(G2:G12,0)</f>
        <v/>
      </c>
    </row>
    <row r="20">
      <c r="B20" s="9" t="inlineStr">
        <is>
          <t>Lowest serious /1k</t>
        </is>
      </c>
      <c r="C20" s="8">
        <f>MIN(H2:H12)</f>
        <v/>
      </c>
    </row>
    <row r="21">
      <c r="B21" s="9" t="inlineStr">
        <is>
          <t>Highest serious /1k</t>
        </is>
      </c>
      <c r="C21" s="8">
        <f>MAX(H2:H12)</f>
        <v/>
      </c>
    </row>
    <row r="22">
      <c r="B22" s="9" t="inlineStr">
        <is>
          <t>Charter PDFs failing</t>
        </is>
      </c>
      <c r="C22" s="8">
        <f>SUM(L2:L12)</f>
        <v/>
      </c>
    </row>
    <row r="23">
      <c r="B23" s="9" t="inlineStr">
        <is>
          <t>Charter PDFs tested</t>
        </is>
      </c>
      <c r="C23" s="8">
        <f>SUM(K2:K12)</f>
        <v/>
      </c>
    </row>
    <row r="24">
      <c r="B24" s="9" t="inlineStr">
        <is>
          <t>All PDFs untagged</t>
        </is>
      </c>
      <c r="C24" s="8">
        <f>SUM(N2:N12)</f>
        <v/>
      </c>
    </row>
    <row r="25">
      <c r="B25" s="9" t="inlineStr">
        <is>
          <t>All PDFs tested</t>
        </is>
      </c>
      <c r="C25" s="8">
        <f>SUM(M2:M12)</f>
        <v/>
      </c>
    </row>
    <row r="27">
      <c r="B27" s="11" t="inlineStr">
        <is>
          <t>WARNING: every Band B figure (columns G-I) is UNVERIFIED BY HAND -- see claim S1. Nothing here is publishable until each failure is manually reproduced.</t>
        </is>
      </c>
    </row>
    <row r="28">
      <c r="B28" s="10" t="inlineStr">
        <is>
          <t>Scan run 2026-08-20T02:50:13.406Z. 5paisa excluded from Band B: returns HTTP 403 to automated agents. No workaround attempted.</t>
        </is>
      </c>
    </row>
    <row r="29">
      <c r="B29" s="11" t="inlineStr">
        <is>
          <t>'Charter PDFs tested = 0' means none were found, NOT that none failed. Zerodha, Kotak, HDFC and Dhan are 0/0.</t>
        </is>
      </c>
    </row>
    <row r="30">
      <c r="B30" s="11" t="inlineStr">
        <is>
          <t>5paisa is shown as 'not measured', never as zero. Scoring an unmeasured item as a failure is the error this project's rubric forbids.</t>
        </is>
      </c>
    </row>
    <row r="31">
      <c r="B31" s="10" t="inlineStr">
        <is>
          <t>Untagged-PDF share: 25 of 76 (32.9%) counting only PDFs on the brokers' own domains; 31 of 84 (36.9%) including third-party hosts. State the basis whenever quoting it.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6" customWidth="1" min="1" max="1"/>
    <col width="20" customWidth="1" min="2" max="2"/>
    <col width="12" customWidth="1" min="3" max="3"/>
    <col width="13" customWidth="1" min="4" max="4"/>
    <col width="15" customWidth="1" min="5" max="5"/>
    <col width="12" customWidth="1" min="6" max="6"/>
    <col width="11" customWidth="1" min="7" max="7"/>
    <col width="10" customWidth="1" min="8" max="8"/>
    <col width="22" customWidth="1" min="9" max="9"/>
  </cols>
  <sheetData>
    <row r="1" ht="31.5" customHeight="1">
      <c r="A1" s="1" t="inlineStr">
        <is>
          <t>Rank</t>
        </is>
      </c>
      <c r="B1" s="1" t="inlineStr">
        <is>
          <t>Broker</t>
        </is>
      </c>
      <c r="C1" s="1" t="inlineStr">
        <is>
          <t>Documents retrieved</t>
        </is>
      </c>
      <c r="D1" s="1" t="inlineStr">
        <is>
          <t>Characters of text</t>
        </is>
      </c>
      <c r="E1" s="1" t="inlineStr">
        <is>
          <t>Contains 'digital accessibility'</t>
        </is>
      </c>
      <c r="F1" s="1" t="inlineStr">
        <is>
          <t>Legacy clause XVII</t>
        </is>
      </c>
      <c r="G1" s="1" t="inlineStr">
        <is>
          <t>Any 'accessib'</t>
        </is>
      </c>
      <c r="H1" s="1" t="inlineStr">
        <is>
          <t>Any 'disab'</t>
        </is>
      </c>
      <c r="I1" s="1" t="inlineStr">
        <is>
          <t>Corpus adequacy</t>
        </is>
      </c>
    </row>
    <row r="2">
      <c r="A2" s="2" t="n">
        <v>1</v>
      </c>
      <c r="B2" s="2" t="inlineStr">
        <is>
          <t>Groww</t>
        </is>
      </c>
      <c r="C2" s="2" t="n">
        <v>5</v>
      </c>
      <c r="D2" s="2" t="n">
        <v>91533</v>
      </c>
      <c r="E2" s="2" t="inlineStr">
        <is>
          <t>no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conclusive</t>
        </is>
      </c>
    </row>
    <row r="3">
      <c r="A3" s="2" t="n">
        <v>2</v>
      </c>
      <c r="B3" s="2" t="inlineStr">
        <is>
          <t>Zerodha</t>
        </is>
      </c>
      <c r="C3" s="2" t="n">
        <v>1</v>
      </c>
      <c r="D3" s="2" t="n">
        <v>22183</v>
      </c>
      <c r="E3" s="2" t="inlineStr">
        <is>
          <t>no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conclusive</t>
        </is>
      </c>
    </row>
    <row r="4">
      <c r="A4" s="2" t="n">
        <v>3</v>
      </c>
      <c r="B4" s="2" t="inlineStr">
        <is>
          <t>Angel One</t>
        </is>
      </c>
      <c r="C4" s="2" t="n">
        <v>5</v>
      </c>
      <c r="D4" s="2" t="n">
        <v>34416</v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conclusive</t>
        </is>
      </c>
    </row>
    <row r="5">
      <c r="A5" s="2" t="n">
        <v>4</v>
      </c>
      <c r="B5" s="2" t="inlineStr">
        <is>
          <t>ICICI Securities</t>
        </is>
      </c>
      <c r="C5" s="2" t="n">
        <v>5</v>
      </c>
      <c r="D5" s="2" t="n">
        <v>49058</v>
      </c>
      <c r="E5" s="2" t="inlineStr">
        <is>
          <t>no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conclusive</t>
        </is>
      </c>
    </row>
    <row r="6">
      <c r="A6" s="2" t="n">
        <v>5</v>
      </c>
      <c r="B6" s="2" t="inlineStr">
        <is>
          <t>Upstox</t>
        </is>
      </c>
      <c r="C6" s="2" t="n">
        <v>3</v>
      </c>
      <c r="D6" s="2" t="n">
        <v>52670</v>
      </c>
      <c r="E6" s="2" t="inlineStr">
        <is>
          <t>no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conclusive</t>
        </is>
      </c>
    </row>
    <row r="7">
      <c r="A7" s="2" t="n">
        <v>6</v>
      </c>
      <c r="B7" s="2" t="inlineStr">
        <is>
          <t>Kotak Securities</t>
        </is>
      </c>
      <c r="C7" s="2" t="n">
        <v>1</v>
      </c>
      <c r="D7" s="2" t="n">
        <v>2728</v>
      </c>
      <c r="E7" s="2" t="inlineStr">
        <is>
          <t>no</t>
        </is>
      </c>
      <c r="F7" s="2" t="inlineStr">
        <is>
          <t>no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thin - weak evidence</t>
        </is>
      </c>
    </row>
    <row r="8">
      <c r="A8" s="2" t="n">
        <v>7</v>
      </c>
      <c r="B8" s="2" t="inlineStr">
        <is>
          <t>HDFC Securities</t>
        </is>
      </c>
      <c r="C8" s="2" t="n">
        <v>1</v>
      </c>
      <c r="D8" s="2" t="n">
        <v>5874</v>
      </c>
      <c r="E8" s="2" t="inlineStr">
        <is>
          <t>no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thin - weak evidence</t>
        </is>
      </c>
    </row>
    <row r="9">
      <c r="A9" s="2" t="n">
        <v>8</v>
      </c>
      <c r="B9" s="2" t="inlineStr">
        <is>
          <t>SBI Securities</t>
        </is>
      </c>
      <c r="C9" s="2" t="n">
        <v>4</v>
      </c>
      <c r="D9" s="2" t="n">
        <v>43250</v>
      </c>
      <c r="E9" s="2" t="inlineStr">
        <is>
          <t>no</t>
        </is>
      </c>
      <c r="F9" s="2" t="inlineStr">
        <is>
          <t>yes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conclusive</t>
        </is>
      </c>
    </row>
    <row r="10">
      <c r="A10" s="2" t="n">
        <v>9</v>
      </c>
      <c r="B10" s="2" t="inlineStr">
        <is>
          <t>Dhan</t>
        </is>
      </c>
      <c r="C10" s="2" t="n">
        <v>3</v>
      </c>
      <c r="D10" s="2" t="n">
        <v>71436</v>
      </c>
      <c r="E10" s="2" t="inlineStr">
        <is>
          <t>no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yes</t>
        </is>
      </c>
      <c r="I10" s="2" t="inlineStr">
        <is>
          <t>conclusive</t>
        </is>
      </c>
    </row>
    <row r="11">
      <c r="A11" s="2" t="n">
        <v>10</v>
      </c>
      <c r="B11" s="2" t="inlineStr">
        <is>
          <t>Motilal Oswal</t>
        </is>
      </c>
      <c r="C11" s="2" t="n">
        <v>4</v>
      </c>
      <c r="D11" s="2" t="n">
        <v>44057</v>
      </c>
      <c r="E11" s="2" t="inlineStr">
        <is>
          <t>no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conclusive</t>
        </is>
      </c>
    </row>
    <row r="12">
      <c r="A12" s="2" t="n">
        <v>11</v>
      </c>
      <c r="B12" s="2" t="inlineStr">
        <is>
          <t>5paisa</t>
        </is>
      </c>
      <c r="C12" s="2" t="n">
        <v>0</v>
      </c>
      <c r="D12" s="2" t="n">
        <v>0</v>
      </c>
      <c r="E12" s="2" t="inlineStr">
        <is>
          <t>no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NOT RETRIEVED</t>
        </is>
      </c>
    </row>
    <row r="14">
      <c r="B14" s="9" t="inlineStr">
        <is>
          <t>Documents retrieved</t>
        </is>
      </c>
      <c r="C14" s="8">
        <f>SUM(C2:C12)</f>
        <v/>
      </c>
    </row>
    <row r="15">
      <c r="B15" s="9" t="inlineStr">
        <is>
          <t>Characters of charter text</t>
        </is>
      </c>
      <c r="C15" s="8">
        <f>SUM(D2:D12)</f>
        <v/>
      </c>
    </row>
    <row r="16">
      <c r="B16" s="9" t="inlineStr">
        <is>
          <t>Carrying the digital accessibility right</t>
        </is>
      </c>
      <c r="C16" s="8">
        <f>COUNTIF(E2:E12,"YES")</f>
        <v/>
      </c>
    </row>
    <row r="17">
      <c r="B17" s="9" t="inlineStr">
        <is>
          <t>Carrying legacy clause XVII</t>
        </is>
      </c>
      <c r="C17" s="8">
        <f>COUNTIF(F2:F12,"yes")</f>
        <v/>
      </c>
    </row>
    <row r="18">
      <c r="B18" s="9" t="inlineStr">
        <is>
          <t>Conclusive corpora</t>
        </is>
      </c>
      <c r="C18" s="8">
        <f>COUNTIF(I2:I12,"conclusive")</f>
        <v/>
      </c>
    </row>
    <row r="21">
      <c r="B21" s="10" t="inlineStr">
        <is>
          <t>Method: each broker's charter page plus every charter-shaped PDF linked from it. Text whitespace-normalised before matching -- pdftotext line-wrapping broke a multi-word regex on the first run and undercounted clause XVII by one.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4" customWidth="1" min="1" max="1"/>
    <col width="40" customWidth="1" min="2" max="2"/>
    <col width="13" customWidth="1" min="3" max="3"/>
    <col width="50" customWidth="1" min="4" max="4"/>
    <col width="34" customWidth="1" min="5" max="5"/>
    <col width="26" customWidth="1" min="6" max="6"/>
  </cols>
  <sheetData>
    <row r="1" ht="31.5" customHeight="1">
      <c r="A1" s="1" t="inlineStr">
        <is>
          <t>#</t>
        </is>
      </c>
      <c r="B1" s="1" t="inlineStr">
        <is>
          <t>Circular number</t>
        </is>
      </c>
      <c r="C1" s="1" t="inlineStr">
        <is>
          <t>Date</t>
        </is>
      </c>
      <c r="D1" s="1" t="inlineStr">
        <is>
          <t>Effect</t>
        </is>
      </c>
      <c r="E1" s="1" t="inlineStr">
        <is>
          <t>Verification status</t>
        </is>
      </c>
      <c r="F1" s="1" t="inlineStr">
        <is>
          <t>Source used</t>
        </is>
      </c>
    </row>
    <row r="2" ht="28" customHeight="1">
      <c r="A2" s="2" t="n">
        <v>1</v>
      </c>
      <c r="B2" s="3" t="inlineStr">
        <is>
          <t>SEBI/HO/MIRSD/SECFATF/P/CIR/2025/74</t>
        </is>
      </c>
      <c r="C2" s="2" t="inlineStr">
        <is>
          <t>23 May 2025</t>
        </is>
      </c>
      <c r="D2" s="3" t="inlineStr">
        <is>
          <t>Accessible digital KYC</t>
        </is>
      </c>
      <c r="E2" s="3" t="inlineStr">
        <is>
          <t>NOT YET READ against primary text (OQ-3)</t>
        </is>
      </c>
      <c r="F2" s="3" t="inlineStr">
        <is>
          <t>nsdl.co.in mirror</t>
        </is>
      </c>
    </row>
    <row r="3">
      <c r="A3" s="2" t="n">
        <v>2</v>
      </c>
      <c r="B3" s="3" t="inlineStr">
        <is>
          <t>SEBI/HO/ITD-1/ITD_VIAP/P/CIR/2025/111</t>
        </is>
      </c>
      <c r="C3" s="2" t="inlineStr">
        <is>
          <t>31 Jul 2025</t>
        </is>
      </c>
      <c r="D3" s="3" t="inlineStr">
        <is>
          <t>Base circular; Annexure I carries the substance</t>
        </is>
      </c>
      <c r="E3" s="3" t="inlineStr">
        <is>
          <t>Read in full</t>
        </is>
      </c>
      <c r="F3" s="3" t="inlineStr">
        <is>
          <t>apmiindia.org mirror</t>
        </is>
      </c>
    </row>
    <row r="4">
      <c r="A4" s="2" t="n">
        <v>3</v>
      </c>
      <c r="B4" s="3" t="inlineStr">
        <is>
          <t>SEBI/HO/ITD-1/ITD_VIAP/P/CIR/2025/121</t>
        </is>
      </c>
      <c r="C4" s="2" t="inlineStr">
        <is>
          <t>29 Aug 2025</t>
        </is>
      </c>
      <c r="D4" s="3" t="inlineStr">
        <is>
          <t>Extended all timelines; IA/RA reporting moved to BSE Ltd</t>
        </is>
      </c>
      <c r="E4" s="3" t="inlineStr">
        <is>
          <t>Read in full</t>
        </is>
      </c>
      <c r="F4" s="3" t="inlineStr">
        <is>
          <t>MUFG Intime mirror</t>
        </is>
      </c>
    </row>
    <row r="5">
      <c r="A5" s="2" t="n">
        <v>4</v>
      </c>
      <c r="B5" s="3" t="inlineStr">
        <is>
          <t>SEBI/HO/ITD-1/ITD_VIAP/P/CIR/2025/131</t>
        </is>
      </c>
      <c r="C5" s="2" t="inlineStr">
        <is>
          <t>25 Sep 2025</t>
        </is>
      </c>
      <c r="D5" s="3" t="inlineStr">
        <is>
          <t>Compliance guidelines, Tables A-D, submission formats</t>
        </is>
      </c>
      <c r="E5" s="3" t="inlineStr">
        <is>
          <t>Read in full</t>
        </is>
      </c>
      <c r="F5" s="3" t="inlineStr">
        <is>
          <t>apmiindia.org mirror</t>
        </is>
      </c>
    </row>
    <row r="6">
      <c r="A6" s="2" t="n">
        <v>5</v>
      </c>
      <c r="B6" s="3" t="inlineStr">
        <is>
          <t>HO/13/19/13(2)2025-ITD-1_VIAP/I/187/2025</t>
        </is>
      </c>
      <c r="C6" s="2" t="inlineStr">
        <is>
          <t>08 Dec 2025</t>
        </is>
      </c>
      <c r="D6" s="3" t="inlineStr">
        <is>
          <t>Replaced auditor milestone; Investor Charter right; SCORES</t>
        </is>
      </c>
      <c r="E6" s="3" t="inlineStr">
        <is>
          <t>Read in full</t>
        </is>
      </c>
      <c r="F6" s="3" t="inlineStr">
        <is>
          <t>apmiindia.org mirror</t>
        </is>
      </c>
    </row>
    <row r="7">
      <c r="A7" s="2" t="n">
        <v>6</v>
      </c>
      <c r="B7" s="3" t="inlineStr">
        <is>
          <t>HO/(411)2026-ITD-5_DIV2/I/17922/2026</t>
        </is>
      </c>
      <c r="C7" s="2" t="inlineStr">
        <is>
          <t>31 Jul 2026</t>
        </is>
      </c>
      <c r="D7" s="3" t="inlineStr">
        <is>
          <t>Audit and remediation extended to 31 Oct 2026</t>
        </is>
      </c>
      <c r="E7" s="3" t="inlineStr">
        <is>
          <t>Read via reproducing notice</t>
        </is>
      </c>
      <c r="F7" s="3" t="inlineStr">
        <is>
          <t>BSE Notice 20260731-17</t>
        </is>
      </c>
    </row>
    <row r="9">
      <c r="B9" s="10" t="inlineStr">
        <is>
          <t>sebi.gov.in is reachable with an explicit DNS resolve; the local resolver returns NXDOMAIN:  curl --resolve www.sebi.gov.in:443:202.191.181.158 https://www.sebi.gov.in/...</t>
        </is>
      </c>
    </row>
    <row r="10">
      <c r="B10" s="10" t="inlineStr">
        <is>
          <t>Mirrors are the exact SEBI PDFs redistributed by regulated market bodies under SEBI's supervision, not vendor summaries.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2026-08-20T08:14:29Z</dcterms:created>
  <dcterms:modified xsi:type="dcterms:W3CDTF">2026-10-10T17:39:17Z</dcterms:modified>
  <cp:lastModifiedBy>Sanjay Chari</cp:lastModifiedBy>
  <cp:revision>0</cp:revision>
</cp:coreProperties>
</file>